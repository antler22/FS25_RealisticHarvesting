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 Setup" sheetId="1" state="visible" r:id="rId1"/>
    <sheet name="Crop Data" sheetId="2" state="visible" r:id="rId2"/>
    <sheet name="Lua 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%"/>
    <numFmt numFmtId="167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color rgb="00008000"/>
      <sz val="10"/>
    </font>
    <font>
      <name val="Arial"/>
      <b val="1"/>
      <color rgb="00000000"/>
      <sz val="10"/>
    </font>
    <font>
      <name val="Courier New"/>
      <sz val="10"/>
    </font>
    <font>
      <name val="Courier New"/>
      <color rgb="00276221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ACD"/>
        <bgColor rgb="00FFFAC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1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Arial"/>
        <color rgb="00276221"/>
        <sz val="10"/>
      </font>
      <fill>
        <patternFill patternType="solid">
          <fgColor rgb="00C6EFCE"/>
          <bgColor rgb="00C6EFCE"/>
        </patternFill>
      </fill>
    </dxf>
    <dxf>
      <font>
        <name val="Arial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2" customWidth="1" min="3" max="3"/>
  </cols>
  <sheetData>
    <row r="1" ht="30" customHeight="1">
      <c r="A1" s="1" t="inlineStr">
        <is>
          <t>Forage Harvester — Machine Setup</t>
        </is>
      </c>
    </row>
    <row r="2" ht="6" customHeight="1"/>
    <row r="3" ht="20" customHeight="1">
      <c r="A3" s="2" t="inlineStr">
        <is>
          <t>Parameter</t>
        </is>
      </c>
      <c r="B3" s="2" t="inlineStr">
        <is>
          <t>Value</t>
        </is>
      </c>
      <c r="C3" s="2" t="inlineStr">
        <is>
          <t>Notes</t>
        </is>
      </c>
    </row>
    <row r="4" ht="18" customHeight="1">
      <c r="A4" s="3" t="inlineStr">
        <is>
          <t>Horsepower (HP)</t>
        </is>
      </c>
      <c r="B4" s="4" t="n">
        <v>913</v>
      </c>
      <c r="C4" s="5" t="inlineStr">
        <is>
          <t>Engine HP — e.g. Jaguar 990 = 913 hp</t>
        </is>
      </c>
    </row>
    <row r="5" ht="18" customHeight="1">
      <c r="A5" s="3" t="inlineStr">
        <is>
          <t>Reference HP (REF_HP)</t>
        </is>
      </c>
      <c r="B5" s="6" t="n">
        <v>400</v>
      </c>
      <c r="C5" s="5" t="inlineStr">
        <is>
          <t>Fixed AEM 400 hp reference — do not change</t>
        </is>
      </c>
    </row>
    <row r="6" ht="18" customHeight="1">
      <c r="A6" s="3" t="inlineStr">
        <is>
          <t>Forage Coefficient</t>
        </is>
      </c>
      <c r="B6" s="7" t="n">
        <v>0.166</v>
      </c>
      <c r="C6" s="5" t="inlineStr">
        <is>
          <t>Calibrated: 913 hp → ~442 t/hr corn silage @ 100%</t>
        </is>
      </c>
    </row>
    <row r="7" ht="18" customHeight="1">
      <c r="A7" s="3" t="inlineStr">
        <is>
          <t>basePerfMass (kg/s)</t>
        </is>
      </c>
      <c r="B7" s="8">
        <f>B6*(B5^0.25)*(B4^0.75)</f>
        <v/>
      </c>
      <c r="C7" s="5" t="inlineStr">
        <is>
          <t>Machine throughput capacity at 100% engine load</t>
        </is>
      </c>
    </row>
    <row r="8" ht="18" customHeight="1">
      <c r="A8" s="3" t="inlineStr">
        <is>
          <t>basePerfMass (t/hr)</t>
        </is>
      </c>
      <c r="B8" s="9">
        <f>B7*3.6</f>
        <v/>
      </c>
      <c r="C8" s="5" t="inlineStr">
        <is>
          <t>Same as above in t/hr</t>
        </is>
      </c>
    </row>
    <row r="9" ht="18" customHeight="1">
      <c r="A9" s="3" t="inlineStr">
        <is>
          <t>Target Load %</t>
        </is>
      </c>
      <c r="B9" s="10" t="n">
        <v>0.95</v>
      </c>
      <c r="C9" s="5" t="inlineStr">
        <is>
          <t>Speed controller target engine load (default 95%)</t>
        </is>
      </c>
    </row>
    <row r="10" ht="18" customHeight="1">
      <c r="A10" s="3" t="inlineStr">
        <is>
          <t>Throughput at Target (kg/s)</t>
        </is>
      </c>
      <c r="B10" s="8">
        <f>B7*B9</f>
        <v/>
      </c>
      <c r="C10" s="5" t="inlineStr">
        <is>
          <t>basePerfMass × target load — used in equilibrium formula</t>
        </is>
      </c>
    </row>
    <row r="11" ht="18" customHeight="1">
      <c r="A11" s="3" t="inlineStr">
        <is>
          <t>Throughput at Target (t/hr)</t>
        </is>
      </c>
      <c r="B11" s="9">
        <f>B10*3.6</f>
        <v/>
      </c>
      <c r="C11" s="5" t="inlineStr">
        <is>
          <t>Same as above in t/hr</t>
        </is>
      </c>
    </row>
    <row r="12" ht="18" customHeight="1">
      <c r="A12" s="3" t="inlineStr">
        <is>
          <t>Default Header Width (m)</t>
        </is>
      </c>
      <c r="B12" s="11" t="n">
        <v>9</v>
      </c>
      <c r="C12" s="5" t="inlineStr">
        <is>
          <t>Override per-crop in column K of Crop Data if needed</t>
        </is>
      </c>
    </row>
    <row r="14" ht="10" customHeight="1"/>
    <row r="16" ht="16" customHeight="1">
      <c r="A16" s="12" t="inlineStr">
        <is>
          <t>Blue text = Input (cells you change)</t>
        </is>
      </c>
    </row>
    <row r="17" ht="16" customHeight="1">
      <c r="A17" s="13" t="inlineStr">
        <is>
          <t>Black text = Calculated (formula)</t>
        </is>
      </c>
    </row>
    <row r="18" ht="16" customHeight="1">
      <c r="A18" s="14" t="inlineStr">
        <is>
          <t>Green text = Cross-sheet formula link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11" customWidth="1" min="4" max="4"/>
    <col width="11" customWidth="1" min="5" max="5"/>
    <col width="18" customWidth="1" min="6" max="6"/>
    <col width="13" customWidth="1" min="7" max="7"/>
    <col width="1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0" customHeight="1">
      <c r="A1" s="1" t="inlineStr">
        <is>
          <t>Forage Crop Load Factor Calculator</t>
        </is>
      </c>
    </row>
    <row r="2" ht="28" customHeight="1">
      <c r="A2" s="15" t="inlineStr">
        <is>
          <t>Yellow = inputs to edit.  Load Factor = processing resistance vs. corn silage (1.00 = reference).  Equilibrium speed = speed the machine settles at given this crop density and your load factor.</t>
        </is>
      </c>
    </row>
    <row r="3" ht="36" customHeight="1">
      <c r="A3" s="16" t="inlineStr">
        <is>
          <t>Crop / Scenario</t>
        </is>
      </c>
      <c r="B3" s="16" t="inlineStr">
        <is>
          <t>Lua FruitType
Key</t>
        </is>
      </c>
      <c r="C3" s="16" t="inlineStr">
        <is>
          <t>litersPerSqm
(fruit XML)</t>
        </is>
      </c>
      <c r="D3" s="16" t="inlineStr">
        <is>
          <t>Converter
Factor</t>
        </is>
      </c>
      <c r="E3" s="16" t="inlineStr">
        <is>
          <t>Effective
L / sqm</t>
        </is>
      </c>
      <c r="F3" s="16" t="inlineStr">
        <is>
          <t>Output
Fill Type</t>
        </is>
      </c>
      <c r="G3" s="16" t="inlineStr">
        <is>
          <t>massPerLiter
(fill XML)</t>
        </is>
      </c>
      <c r="H3" s="16" t="inlineStr">
        <is>
          <t>kg / sqm</t>
        </is>
      </c>
      <c r="I3" s="16" t="inlineStr">
        <is>
          <t>t / ha</t>
        </is>
      </c>
      <c r="J3" s="16" t="inlineStr">
        <is>
          <t>Load Factor
▶ SET THIS ◀</t>
        </is>
      </c>
      <c r="K3" s="16" t="inlineStr">
        <is>
          <t>Header Width
Override (m)</t>
        </is>
      </c>
      <c r="L3" s="16" t="inlineStr">
        <is>
          <t>Equil. Speed
(km/h)</t>
        </is>
      </c>
      <c r="M3" s="16" t="inlineStr">
        <is>
          <t>Equil. Speed
(mph)</t>
        </is>
      </c>
    </row>
    <row r="4" ht="20" customHeight="1">
      <c r="A4" s="17" t="inlineStr">
        <is>
          <t>MAIZE — direct cut</t>
        </is>
      </c>
      <c r="B4" s="18" t="inlineStr">
        <is>
          <t>MAIZE</t>
        </is>
      </c>
      <c r="C4" s="19" t="n">
        <v>1.1538</v>
      </c>
      <c r="D4" s="20" t="n">
        <v>9.710000000000001</v>
      </c>
      <c r="E4" s="7">
        <f>C4*D4</f>
        <v/>
      </c>
      <c r="F4" s="18" t="inlineStr">
        <is>
          <t>CHAFF</t>
        </is>
      </c>
      <c r="G4" s="20" t="n">
        <v>0.23</v>
      </c>
      <c r="H4" s="7">
        <f>E4*G4</f>
        <v/>
      </c>
      <c r="I4" s="21">
        <f>H4*10</f>
        <v/>
      </c>
      <c r="J4" s="20" t="n">
        <v>1</v>
      </c>
      <c r="K4" s="11" t="n"/>
      <c r="L4" s="9">
        <f>IF(H4&lt;=0,0,('Machine Setup'!$B$10*3.6)/(J4*H4*IF(K4="",'Machine Setup'!$B$12,K4)))</f>
        <v/>
      </c>
      <c r="M4" s="21">
        <f>IF(L4=0,0,L4/1.60934)</f>
        <v/>
      </c>
    </row>
    <row r="5" ht="20" customHeight="1">
      <c r="A5" s="17" t="inlineStr">
        <is>
          <t>ALFALFA — direct cut</t>
        </is>
      </c>
      <c r="B5" s="18" t="inlineStr">
        <is>
          <t>ALFALFA</t>
        </is>
      </c>
      <c r="C5" s="19" t="n">
        <v>1.2183</v>
      </c>
      <c r="D5" s="20" t="n">
        <v>1</v>
      </c>
      <c r="E5" s="7">
        <f>C5*D5</f>
        <v/>
      </c>
      <c r="F5" s="18" t="inlineStr">
        <is>
          <t>ALFALFA_WINDROW</t>
        </is>
      </c>
      <c r="G5" s="20" t="n">
        <v>0.23</v>
      </c>
      <c r="H5" s="7">
        <f>E5*G5</f>
        <v/>
      </c>
      <c r="I5" s="21">
        <f>H5*10</f>
        <v/>
      </c>
      <c r="J5" s="20" t="n">
        <v>1.2</v>
      </c>
      <c r="K5" s="11" t="n"/>
      <c r="L5" s="9">
        <f>IF(H5&lt;=0,0,('Machine Setup'!$B$10*3.6)/(J5*H5*IF(K5="",'Machine Setup'!$B$12,K5)))</f>
        <v/>
      </c>
      <c r="M5" s="21">
        <f>IF(L5=0,0,L5/1.60934)</f>
        <v/>
      </c>
    </row>
    <row r="6" ht="20" customHeight="1">
      <c r="A6" s="17" t="inlineStr">
        <is>
          <t>ALFALFA_WINDROW — wet pickup</t>
        </is>
      </c>
      <c r="B6" s="18" t="inlineStr"/>
      <c r="C6" s="19" t="n">
        <v>2.28</v>
      </c>
      <c r="D6" s="20" t="n">
        <v>2.4</v>
      </c>
      <c r="E6" s="7">
        <f>C6*D6</f>
        <v/>
      </c>
      <c r="F6" s="18" t="inlineStr">
        <is>
          <t>ALFALFA_CHOPPED</t>
        </is>
      </c>
      <c r="G6" s="20" t="n">
        <v>0.23</v>
      </c>
      <c r="H6" s="7">
        <f>E6*G6</f>
        <v/>
      </c>
      <c r="I6" s="21">
        <f>H6*10</f>
        <v/>
      </c>
      <c r="J6" s="20" t="n">
        <v>1.2</v>
      </c>
      <c r="K6" s="11" t="n"/>
      <c r="L6" s="9">
        <f>IF(H6&lt;=0,0,('Machine Setup'!$B$10*3.6)/(J6*H6*IF(K6="",'Machine Setup'!$B$12,K6)))</f>
        <v/>
      </c>
      <c r="M6" s="21">
        <f>IF(L6=0,0,L6/1.60934)</f>
        <v/>
      </c>
    </row>
    <row r="7" ht="20" customHeight="1">
      <c r="A7" s="17" t="inlineStr">
        <is>
          <t>DRYALFALFA_WINDROW — dry pickup</t>
        </is>
      </c>
      <c r="B7" s="18" t="inlineStr">
        <is>
          <t>DRYGRASS</t>
        </is>
      </c>
      <c r="C7" s="19" t="n">
        <v>2.28</v>
      </c>
      <c r="D7" s="20" t="n">
        <v>1.6</v>
      </c>
      <c r="E7" s="7">
        <f>C7*D7</f>
        <v/>
      </c>
      <c r="F7" s="18" t="inlineStr">
        <is>
          <t>ALFALFA_CHOPPED</t>
        </is>
      </c>
      <c r="G7" s="20" t="n">
        <v>0.14</v>
      </c>
      <c r="H7" s="7">
        <f>E7*G7</f>
        <v/>
      </c>
      <c r="I7" s="21">
        <f>H7*10</f>
        <v/>
      </c>
      <c r="J7" s="20" t="n">
        <v>1.1</v>
      </c>
      <c r="K7" s="11" t="n"/>
      <c r="L7" s="9">
        <f>IF(H7&lt;=0,0,('Machine Setup'!$B$10*3.6)/(J7*H7*IF(K7="",'Machine Setup'!$B$12,K7)))</f>
        <v/>
      </c>
      <c r="M7" s="21">
        <f>IF(L7=0,0,L7/1.60934)</f>
        <v/>
      </c>
    </row>
    <row r="8" ht="20" customHeight="1">
      <c r="A8" s="17" t="inlineStr">
        <is>
          <t>TRITICALE — direct cut</t>
        </is>
      </c>
      <c r="B8" s="18" t="inlineStr">
        <is>
          <t>TRITICALE</t>
        </is>
      </c>
      <c r="C8" s="19" t="n">
        <v>0.3483</v>
      </c>
      <c r="D8" s="20" t="n">
        <v>16.1</v>
      </c>
      <c r="E8" s="7">
        <f>C8*D8</f>
        <v/>
      </c>
      <c r="F8" s="18" t="inlineStr">
        <is>
          <t>CHAFF</t>
        </is>
      </c>
      <c r="G8" s="20" t="n">
        <v>0.23</v>
      </c>
      <c r="H8" s="7">
        <f>E8*G8</f>
        <v/>
      </c>
      <c r="I8" s="21">
        <f>H8*10</f>
        <v/>
      </c>
      <c r="J8" s="20" t="n">
        <v>0.9</v>
      </c>
      <c r="K8" s="11" t="n"/>
      <c r="L8" s="9">
        <f>IF(H8&lt;=0,0,('Machine Setup'!$B$10*3.6)/(J8*H8*IF(K8="",'Machine Setup'!$B$12,K8)))</f>
        <v/>
      </c>
      <c r="M8" s="21">
        <f>IF(L8=0,0,L8/1.60934)</f>
        <v/>
      </c>
    </row>
    <row r="9" ht="20" customHeight="1">
      <c r="A9" s="17" t="inlineStr">
        <is>
          <t>SORGHUM — direct cut</t>
        </is>
      </c>
      <c r="B9" s="18" t="inlineStr">
        <is>
          <t>SORGHUM</t>
        </is>
      </c>
      <c r="C9" s="19" t="n">
        <v>0.5225</v>
      </c>
      <c r="D9" s="20" t="n">
        <v>4</v>
      </c>
      <c r="E9" s="7">
        <f>C9*D9</f>
        <v/>
      </c>
      <c r="F9" s="18" t="inlineStr">
        <is>
          <t>CHAFF</t>
        </is>
      </c>
      <c r="G9" s="20" t="n">
        <v>0.23</v>
      </c>
      <c r="H9" s="7">
        <f>E9*G9</f>
        <v/>
      </c>
      <c r="I9" s="21">
        <f>H9*10</f>
        <v/>
      </c>
      <c r="J9" s="20" t="n">
        <v>0.85</v>
      </c>
      <c r="K9" s="11" t="n"/>
      <c r="L9" s="9">
        <f>IF(H9&lt;=0,0,('Machine Setup'!$B$10*3.6)/(J9*H9*IF(K9="",'Machine Setup'!$B$12,K9)))</f>
        <v/>
      </c>
      <c r="M9" s="21">
        <f>IF(L9=0,0,L9/1.60934)</f>
        <v/>
      </c>
    </row>
    <row r="10" ht="20" customHeight="1">
      <c r="A10" s="17" t="inlineStr">
        <is>
          <t>GRASS — mow / pickup</t>
        </is>
      </c>
      <c r="B10" s="18" t="inlineStr">
        <is>
          <t>GRASS</t>
        </is>
      </c>
      <c r="C10" s="19" t="n">
        <v>0</v>
      </c>
      <c r="D10" s="20" t="n">
        <v>0</v>
      </c>
      <c r="E10" s="7">
        <f>C10*D10</f>
        <v/>
      </c>
      <c r="F10" s="18" t="inlineStr">
        <is>
          <t>GRASS_WINDROW</t>
        </is>
      </c>
      <c r="G10" s="20" t="n">
        <v>0.23</v>
      </c>
      <c r="H10" s="7">
        <f>E10*G10</f>
        <v/>
      </c>
      <c r="I10" s="21">
        <f>H10*10</f>
        <v/>
      </c>
      <c r="J10" s="20" t="n">
        <v>1.35</v>
      </c>
      <c r="K10" s="11" t="n"/>
      <c r="L10" s="9">
        <f>IF(H10&lt;=0,0,('Machine Setup'!$B$10*3.6)/(J10*H10*IF(K10="",'Machine Setup'!$B$12,K10)))</f>
        <v/>
      </c>
      <c r="M10" s="21">
        <f>IF(L10=0,0,L10/1.60934)</f>
        <v/>
      </c>
    </row>
    <row r="11" ht="20" customHeight="1">
      <c r="A11" s="17" t="inlineStr">
        <is>
          <t>MINT — direct cut</t>
        </is>
      </c>
      <c r="B11" s="18" t="inlineStr">
        <is>
          <t>MINT</t>
        </is>
      </c>
      <c r="C11" s="19" t="n">
        <v>0.001</v>
      </c>
      <c r="D11" s="20" t="n">
        <v>1</v>
      </c>
      <c r="E11" s="7">
        <f>C11*D11</f>
        <v/>
      </c>
      <c r="F11" s="18" t="inlineStr">
        <is>
          <t>MINT_WINDROW</t>
        </is>
      </c>
      <c r="G11" s="20" t="n">
        <v>0.23</v>
      </c>
      <c r="H11" s="7">
        <f>E11*G11</f>
        <v/>
      </c>
      <c r="I11" s="21">
        <f>H11*10</f>
        <v/>
      </c>
      <c r="J11" s="20" t="n">
        <v>1.1</v>
      </c>
      <c r="K11" s="11" t="n"/>
      <c r="L11" s="9">
        <f>IF(H11&lt;=0,0,('Machine Setup'!$B$10*3.6)/(J11*H11*IF(K11="",'Machine Setup'!$B$12,K11)))</f>
        <v/>
      </c>
      <c r="M11" s="21">
        <f>IF(L11=0,0,L11/1.60934)</f>
        <v/>
      </c>
    </row>
    <row r="12" ht="20" customHeight="1">
      <c r="A12" s="3" t="inlineStr"/>
      <c r="B12" s="18" t="inlineStr"/>
      <c r="C12" s="19" t="n"/>
      <c r="D12" s="20" t="n"/>
      <c r="E12" s="7">
        <f>C12*D12</f>
        <v/>
      </c>
      <c r="F12" s="18" t="inlineStr"/>
      <c r="G12" s="20" t="n"/>
      <c r="H12" s="7">
        <f>E12*G12</f>
        <v/>
      </c>
      <c r="I12" s="21">
        <f>H12*10</f>
        <v/>
      </c>
      <c r="J12" s="20" t="n"/>
      <c r="K12" s="11" t="n"/>
      <c r="L12" s="9">
        <f>IF(H12&lt;=0,0,('Machine Setup'!$B$10*3.6)/(J12*H12*IF(K12="",'Machine Setup'!$B$12,K12)))</f>
        <v/>
      </c>
      <c r="M12" s="21">
        <f>IF(L12=0,0,L12/1.60934)</f>
        <v/>
      </c>
    </row>
    <row r="13" ht="20" customHeight="1">
      <c r="A13" s="3" t="inlineStr"/>
      <c r="B13" s="18" t="inlineStr"/>
      <c r="C13" s="19" t="n"/>
      <c r="D13" s="20" t="n"/>
      <c r="E13" s="7">
        <f>C13*D13</f>
        <v/>
      </c>
      <c r="F13" s="18" t="inlineStr"/>
      <c r="G13" s="20" t="n"/>
      <c r="H13" s="7">
        <f>E13*G13</f>
        <v/>
      </c>
      <c r="I13" s="21">
        <f>H13*10</f>
        <v/>
      </c>
      <c r="J13" s="20" t="n"/>
      <c r="K13" s="11" t="n"/>
      <c r="L13" s="9">
        <f>IF(H13&lt;=0,0,('Machine Setup'!$B$10*3.6)/(J13*H13*IF(K13="",'Machine Setup'!$B$12,K13)))</f>
        <v/>
      </c>
      <c r="M13" s="21">
        <f>IF(L13=0,0,L13/1.60934)</f>
        <v/>
      </c>
    </row>
    <row r="14" ht="20" customHeight="1">
      <c r="A14" s="3" t="inlineStr"/>
      <c r="B14" s="18" t="inlineStr"/>
      <c r="C14" s="19" t="n"/>
      <c r="D14" s="20" t="n"/>
      <c r="E14" s="7">
        <f>C14*D14</f>
        <v/>
      </c>
      <c r="F14" s="18" t="inlineStr"/>
      <c r="G14" s="20" t="n"/>
      <c r="H14" s="7">
        <f>E14*G14</f>
        <v/>
      </c>
      <c r="I14" s="21">
        <f>H14*10</f>
        <v/>
      </c>
      <c r="J14" s="20" t="n"/>
      <c r="K14" s="11" t="n"/>
      <c r="L14" s="9">
        <f>IF(H14&lt;=0,0,('Machine Setup'!$B$10*3.6)/(J14*H14*IF(K14="",'Machine Setup'!$B$12,K14)))</f>
        <v/>
      </c>
      <c r="M14" s="21">
        <f>IF(L14=0,0,L14/1.60934)</f>
        <v/>
      </c>
    </row>
    <row r="15" ht="20" customHeight="1">
      <c r="A15" s="3" t="inlineStr"/>
      <c r="B15" s="18" t="inlineStr"/>
      <c r="C15" s="19" t="n"/>
      <c r="D15" s="20" t="n"/>
      <c r="E15" s="7">
        <f>C15*D15</f>
        <v/>
      </c>
      <c r="F15" s="18" t="inlineStr"/>
      <c r="G15" s="20" t="n"/>
      <c r="H15" s="7">
        <f>E15*G15</f>
        <v/>
      </c>
      <c r="I15" s="21">
        <f>H15*10</f>
        <v/>
      </c>
      <c r="J15" s="20" t="n"/>
      <c r="K15" s="11" t="n"/>
      <c r="L15" s="9">
        <f>IF(H15&lt;=0,0,('Machine Setup'!$B$10*3.6)/(J15*H15*IF(K15="",'Machine Setup'!$B$12,K15)))</f>
        <v/>
      </c>
      <c r="M15" s="21">
        <f>IF(L15=0,0,L15/1.60934)</f>
        <v/>
      </c>
    </row>
    <row r="16" ht="20" customHeight="1">
      <c r="A16" s="3" t="inlineStr"/>
      <c r="B16" s="18" t="inlineStr"/>
      <c r="C16" s="19" t="n"/>
      <c r="D16" s="20" t="n"/>
      <c r="E16" s="7">
        <f>C16*D16</f>
        <v/>
      </c>
      <c r="F16" s="18" t="inlineStr"/>
      <c r="G16" s="20" t="n"/>
      <c r="H16" s="7">
        <f>E16*G16</f>
        <v/>
      </c>
      <c r="I16" s="21">
        <f>H16*10</f>
        <v/>
      </c>
      <c r="J16" s="20" t="n"/>
      <c r="K16" s="11" t="n"/>
      <c r="L16" s="9">
        <f>IF(H16&lt;=0,0,('Machine Setup'!$B$10*3.6)/(J16*H16*IF(K16="",'Machine Setup'!$B$12,K16)))</f>
        <v/>
      </c>
      <c r="M16" s="21">
        <f>IF(L16=0,0,L16/1.60934)</f>
        <v/>
      </c>
    </row>
  </sheetData>
  <mergeCells count="2">
    <mergeCell ref="A2:M2"/>
    <mergeCell ref="A1:M1"/>
  </mergeCells>
  <conditionalFormatting sqref="L4:L16">
    <cfRule type="cellIs" priority="1" operator="between" dxfId="0">
      <formula>3</formula>
      <formula>15</formula>
    </cfRule>
    <cfRule type="cellIs" priority="2" operator="greaterThan" dxfId="1">
      <formula>15</formula>
    </cfRule>
    <cfRule type="cellIs" priority="3" operator="lessThan" dxfId="2">
      <formula>3</formula>
    </cfRule>
  </conditionalFormatting>
  <conditionalFormatting sqref="M4:M16">
    <cfRule type="cellIs" priority="4" operator="between" dxfId="0">
      <formula>1.86</formula>
      <formula>9.32</formula>
    </cfRule>
    <cfRule type="cellIs" priority="5" operator="greaterThan" dxfId="1">
      <formula>9.32</formula>
    </cfRule>
    <cfRule type="cellIs" priority="6" operator="lessThan" dxfId="2">
      <formula>1.86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Lua — forageCropFactors snippet (auto-updated from Crop Data)</t>
        </is>
      </c>
    </row>
    <row r="2" ht="24" customHeight="1">
      <c r="A2" s="15" t="inlineStr">
        <is>
          <t>Copy these lines into LoadCalculator.lua to replace the forageCropFactors table. Values update automatically when you change Load Factor in the Crop Data sheet.</t>
        </is>
      </c>
    </row>
    <row r="3" ht="16" customHeight="1">
      <c r="A3" s="22" t="inlineStr">
        <is>
          <t>local forageCropFactors = {}</t>
        </is>
      </c>
    </row>
    <row r="4" ht="16" customHeight="1">
      <c r="A4" s="23">
        <f>IF('Crop Data'!B4="","","if FruitType."&amp;'Crop Data'!B4&amp;" then forageCropFactors[FruitType."&amp;'Crop Data'!B4&amp;"] = "&amp;TEXT('Crop Data'!J4,"0.00")&amp;" end -- "&amp;'Crop Data'!A4)</f>
        <v/>
      </c>
    </row>
    <row r="5" ht="16" customHeight="1">
      <c r="A5" s="23">
        <f>IF('Crop Data'!B5="","","if FruitType."&amp;'Crop Data'!B5&amp;" then forageCropFactors[FruitType."&amp;'Crop Data'!B5&amp;"] = "&amp;TEXT('Crop Data'!J5,"0.00")&amp;" end -- "&amp;'Crop Data'!A5)</f>
        <v/>
      </c>
    </row>
    <row r="6" ht="16" customHeight="1">
      <c r="A6" s="23">
        <f>IF('Crop Data'!B6="","","if FruitType."&amp;'Crop Data'!B6&amp;" then forageCropFactors[FruitType."&amp;'Crop Data'!B6&amp;"] = "&amp;TEXT('Crop Data'!J6,"0.00")&amp;" end -- "&amp;'Crop Data'!A6)</f>
        <v/>
      </c>
    </row>
    <row r="7" ht="16" customHeight="1">
      <c r="A7" s="23">
        <f>IF('Crop Data'!B7="","","if FruitType."&amp;'Crop Data'!B7&amp;" then forageCropFactors[FruitType."&amp;'Crop Data'!B7&amp;"] = "&amp;TEXT('Crop Data'!J7,"0.00")&amp;" end -- "&amp;'Crop Data'!A7)</f>
        <v/>
      </c>
    </row>
    <row r="8" ht="16" customHeight="1">
      <c r="A8" s="23">
        <f>IF('Crop Data'!B8="","","if FruitType."&amp;'Crop Data'!B8&amp;" then forageCropFactors[FruitType."&amp;'Crop Data'!B8&amp;"] = "&amp;TEXT('Crop Data'!J8,"0.00")&amp;" end -- "&amp;'Crop Data'!A8)</f>
        <v/>
      </c>
    </row>
    <row r="9" ht="16" customHeight="1">
      <c r="A9" s="23">
        <f>IF('Crop Data'!B9="","","if FruitType."&amp;'Crop Data'!B9&amp;" then forageCropFactors[FruitType."&amp;'Crop Data'!B9&amp;"] = "&amp;TEXT('Crop Data'!J9,"0.00")&amp;" end -- "&amp;'Crop Data'!A9)</f>
        <v/>
      </c>
    </row>
    <row r="10" ht="16" customHeight="1">
      <c r="A10" s="23">
        <f>IF('Crop Data'!B10="","","if FruitType."&amp;'Crop Data'!B10&amp;" then forageCropFactors[FruitType."&amp;'Crop Data'!B10&amp;"] = "&amp;TEXT('Crop Data'!J10,"0.00")&amp;" end -- "&amp;'Crop Data'!A10)</f>
        <v/>
      </c>
    </row>
    <row r="11" ht="16" customHeight="1">
      <c r="A11" s="23">
        <f>IF('Crop Data'!B11="","","if FruitType."&amp;'Crop Data'!B11&amp;" then forageCropFactors[FruitType."&amp;'Crop Data'!B11&amp;"] = "&amp;TEXT('Crop Data'!J11,"0.00")&amp;" end -- "&amp;'Crop Data'!A11)</f>
        <v/>
      </c>
    </row>
    <row r="12" ht="16" customHeight="1">
      <c r="A12" s="23">
        <f>IF('Crop Data'!B12="","","if FruitType."&amp;'Crop Data'!B12&amp;" then forageCropFactors[FruitType."&amp;'Crop Data'!B12&amp;"] = "&amp;TEXT('Crop Data'!J12,"0.00")&amp;" end -- "&amp;'Crop Data'!A12)</f>
        <v/>
      </c>
    </row>
    <row r="13" ht="16" customHeight="1">
      <c r="A13" s="23">
        <f>IF('Crop Data'!B13="","","if FruitType."&amp;'Crop Data'!B13&amp;" then forageCropFactors[FruitType."&amp;'Crop Data'!B13&amp;"] = "&amp;TEXT('Crop Data'!J13,"0.00")&amp;" end -- "&amp;'Crop Data'!A13)</f>
        <v/>
      </c>
    </row>
    <row r="14" ht="16" customHeight="1">
      <c r="A14" s="23">
        <f>IF('Crop Data'!B14="","","if FruitType."&amp;'Crop Data'!B14&amp;" then forageCropFactors[FruitType."&amp;'Crop Data'!B14&amp;"] = "&amp;TEXT('Crop Data'!J14,"0.00")&amp;" end -- "&amp;'Crop Data'!A14)</f>
        <v/>
      </c>
    </row>
    <row r="15" ht="16" customHeight="1">
      <c r="A15" s="23">
        <f>IF('Crop Data'!B15="","","if FruitType."&amp;'Crop Data'!B15&amp;" then forageCropFactors[FruitType."&amp;'Crop Data'!B15&amp;"] = "&amp;TEXT('Crop Data'!J15,"0.00")&amp;" end -- "&amp;'Crop Data'!A15)</f>
        <v/>
      </c>
    </row>
    <row r="16" ht="16" customHeight="1">
      <c r="A16" s="23">
        <f>IF('Crop Data'!B16="","","if FruitType."&amp;'Crop Data'!B16&amp;" then forageCropFactors[FruitType."&amp;'Crop Data'!B16&amp;"] = "&amp;TEXT('Crop Data'!J16,"0.00")&amp;" end -- "&amp;'Crop Data'!A16)</f>
        <v/>
      </c>
    </row>
    <row r="17" ht="16" customHeight="1">
      <c r="A17" s="22" t="inlineStr">
        <is>
          <t>cropFactor = (ft and forageCropFactors[ft]) or 1.0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2026-03-28T00:49:25Z</dcterms:created>
  <dcterms:modified xsi:type="dcterms:W3CDTF">2026-03-28T00:49:25Z</dcterms:modified>
</cp:coreProperties>
</file>